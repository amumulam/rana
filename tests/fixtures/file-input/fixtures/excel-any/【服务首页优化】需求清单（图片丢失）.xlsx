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76" windowHeight="7332" activeTab="2"/>
  </bookViews>
  <sheets>
    <sheet name="Sheet1" sheetId="1" r:id="rId1"/>
    <sheet name="Sheet2" sheetId="3" r:id="rId2"/>
    <sheet name="Sheet3" sheetId="4" r:id="rId3"/>
    <sheet name="WpsReserved_CellImgList" sheetId="2" state="veryHidden" r:id="rId4"/>
  </sheets>
  <definedNames>
    <definedName name="_xlnm.Print_Area" localSheetId="0">Sheet1!$C:$G</definedName>
    <definedName name="_xlnm.Print_Area" localSheetId="1">Sheet2!$A:$B</definedName>
    <definedName name="_xlnm.Print_Area" localSheetId="2">Sheet3!$A:$C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02104E7708354C028D96AEAD55DE24DA" descr="upload_post_object_v2_2205232854"/>
        <xdr:cNvPicPr/>
      </xdr:nvPicPr>
      <xdr:blipFill>
        <a:blip r:embed="rId1"/>
        <a:stretch>
          <a:fillRect/>
        </a:stretch>
      </xdr:blipFill>
      <xdr:spPr>
        <a:xfrm>
          <a:off x="0" y="0"/>
          <a:ext cx="6964045" cy="2794000"/>
        </a:xfrm>
        <a:prstGeom prst="rect">
          <a:avLst/>
        </a:prstGeom>
      </xdr:spPr>
    </xdr:pic>
  </etc:cellImage>
  <etc:cellImage>
    <xdr:pic>
      <xdr:nvPicPr>
        <xdr:cNvPr id="8" name="ID_9940F3C87CC94FFF900F3374B33C97AC" descr="upload_post_object_v2_2457234805"/>
        <xdr:cNvPicPr/>
      </xdr:nvPicPr>
      <xdr:blipFill>
        <a:blip r:embed="rId2"/>
        <a:stretch>
          <a:fillRect/>
        </a:stretch>
      </xdr:blipFill>
      <xdr:spPr>
        <a:xfrm>
          <a:off x="0" y="0"/>
          <a:ext cx="6907530" cy="1276985"/>
        </a:xfrm>
        <a:prstGeom prst="rect">
          <a:avLst/>
        </a:prstGeom>
      </xdr:spPr>
    </xdr:pic>
  </etc:cellImage>
  <etc:cellImage>
    <xdr:pic>
      <xdr:nvPicPr>
        <xdr:cNvPr id="9" name="ID_2278E576BE714BC3AEE5B687D0D2BC41" descr="upload_post_object_v2_428286544"/>
        <xdr:cNvPicPr/>
      </xdr:nvPicPr>
      <xdr:blipFill>
        <a:blip r:embed="rId3"/>
        <a:stretch>
          <a:fillRect/>
        </a:stretch>
      </xdr:blipFill>
      <xdr:spPr>
        <a:xfrm>
          <a:off x="0" y="0"/>
          <a:ext cx="6978015" cy="14325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<sst xmlns="http://schemas.openxmlformats.org/spreadsheetml/2006/main" count="44" uniqueCount="38">
  <si>
    <t>需求名称</t>
  </si>
  <si>
    <t>需求背景</t>
  </si>
  <si>
    <t>期望方案</t>
  </si>
  <si>
    <t>需求价值</t>
  </si>
  <si>
    <t>优先级</t>
  </si>
  <si>
    <t>示意原型图</t>
  </si>
  <si>
    <t>交互需求备注</t>
  </si>
  <si>
    <r>
      <rPr>
        <sz val="14"/>
        <color rgb="FF000000"/>
        <rFont val="微软雅黑"/>
        <charset val="134"/>
      </rPr>
      <t xml:space="preserve">VR251222-316 
</t>
    </r>
    <r>
      <rPr>
        <b/>
        <sz val="14"/>
        <color rgb="FF000000"/>
        <rFont val="微软雅黑"/>
        <charset val="134"/>
      </rPr>
      <t>维修楼层：将“维修模式”位置前置到我要维修楼层</t>
    </r>
    <r>
      <rPr>
        <sz val="14"/>
        <color rgb="FF000000"/>
        <rFont val="微软雅黑"/>
        <charset val="134"/>
      </rPr>
      <t xml:space="preserve">
http://vapd.vivo.xyz/s/eHGetiLC</t>
    </r>
  </si>
  <si>
    <t>维修模式原在常用特色服务金刚位，目前常用特色服务金刚位功能信息太多，其中同类需求分散、查找效率低。</t>
  </si>
  <si>
    <t>将“维修模式”前置到 “我要维修” 楼层。</t>
  </si>
  <si>
    <t>1.业务价值：
（1）维修模式原在常用服务楼层：4.2 万 UV 曝光、日均点击≈2229 次，CTR5.3%；
（2）前置到 “我要维修” 楼层：10.8 万 UV（维修高意向用户），预计CTR≥6.0% ，日均点击≈6000 次；
（3）预计带来CTR 提升 0.7pp，点击量增≈3700 次 / 日，带动维修楼层整体点击率增长。
2.用户价值：将维修的相关功能聚合展示在此楼层，维修模式可直接触达隐私保护功能，能提升使用率，缩短操作路径。</t>
  </si>
  <si>
    <t>P2</t>
  </si>
  <si>
    <t>备注：交互阶段优化细节方案。核心要求为→维修场景功能聚合，“维修模式” 需归入「我要维修」楼层核心功能区，与其他维修强相关功能放在同一模块，确保用户进入楼层即可一站式获取维修全流程。</t>
  </si>
  <si>
    <r>
      <rPr>
        <sz val="14"/>
        <color rgb="FF000000"/>
        <rFont val="微软雅黑"/>
        <charset val="134"/>
      </rPr>
      <t xml:space="preserve">VR251210-423 
</t>
    </r>
    <r>
      <rPr>
        <b/>
        <sz val="14"/>
        <color rgb="FF000000"/>
        <rFont val="微软雅黑"/>
        <charset val="134"/>
      </rPr>
      <t>客服楼层：改造①客服卡片按会员等级区分专属皮肤②客服协助前置至此楼层</t>
    </r>
    <r>
      <rPr>
        <sz val="14"/>
        <color rgb="FF000000"/>
        <rFont val="微软雅黑"/>
        <charset val="134"/>
      </rPr>
      <t xml:space="preserve">
http://vapd.vivo.xyz/s/bhfFNQDt</t>
    </r>
  </si>
  <si>
    <t>①当前客服模块「我要咨询」楼层的客服卡片所有用户采用统一视觉样式，未区分会员等级：既无法体现不同等级会员的专属权益，也削弱了高端用户的专属感与服务体验的一致性。
②客服协助 CTR1.8%，原在常用特色服务金刚位，属于客服场景内容，考虑前置到 “我要咨询” 楼层。</t>
  </si>
  <si>
    <t>①客服卡片交互、视觉与客服版本标准对齐，按会员等级展示三套（钻石 / 黄金 / 白银）皮肤；高端机用户默认使用黄金色皮肤。
②将“客服协助”前置到 “我要咨询” 楼层。</t>
  </si>
  <si>
    <t>1.当前客服卡片仅靠文案区分人群展示，高端机人群 CTR 约 9.01%、普通机人群约 6.76%；改造后按 “会员等级 + 机型” 匹配专属卡片，强化不同人群服务感知：
（1）高端人群 CTR 预计提升至 10%，绝对提升 0.99pp，日均点击提升约 317 次 / 日；
（2）普通人群 CTR 预计提升至 8%，绝对提升 1.24pp，日均点击提升 850 次 / 日；
（3）整体该卡片日点击共提升约 1000+ 次，既强化用户专属感，也提升客服入口触达效率。
2.客服协助是远程共享屏幕+专属引导的复杂问题解决工具，原位于常用服务楼层，日均点击率约 1%；前置至“我要咨询”楼层，既实现咨询类功能集中展示、精简常用服务金刚位，也有效缩短用户操作路径。</t>
  </si>
  <si>
    <t>备注：交互阶段优化细节方案。在客服的卡片，需要增加一些可点击的元素。</t>
  </si>
  <si>
    <r>
      <rPr>
        <sz val="14"/>
        <color rgb="FF000000"/>
        <rFont val="微软雅黑"/>
        <charset val="134"/>
      </rPr>
      <t xml:space="preserve">VR251222-407 
</t>
    </r>
    <r>
      <rPr>
        <b/>
        <sz val="14"/>
        <color rgb="FF000000"/>
        <rFont val="微软雅黑"/>
        <charset val="134"/>
      </rPr>
      <t>服务网点楼层：合并“体验店”至该楼层</t>
    </r>
    <r>
      <rPr>
        <sz val="14"/>
        <color rgb="FF000000"/>
        <rFont val="微软雅黑"/>
        <charset val="134"/>
      </rPr>
      <t xml:space="preserve">
http://vapd.vivo.xyz/s/gheeqcay</t>
    </r>
  </si>
  <si>
    <t>当前服务中心与体验店分开展示，该楼层样式与 “我的页” 不一致，用户认知割裂。</t>
  </si>
  <si>
    <t>合并服务中心与体验店为 “服务网点” 楼层，样式与 “我的页” 对齐：
方案①展示顺序：服务中心在前，体验店在后；
方案②展示顺序：体验店在前，服务中心在后（与 “我的页” 顺序一致）；但在全部服务页中，该楼层默认选中“服务网点 / 中心”。</t>
  </si>
  <si>
    <t>原服务中心、体验店分开展示且样式不统一，整合双模块（原服务中心日均曝光 5.9 万 UV、CTR 约 12%；常用服务楼层体验店日均曝光 4.2 万 UV、CTR 约 1%），合并为 “服务网点” 楼层且样式与我的页对齐；既精简页面结构，又消除认知割裂。</t>
  </si>
  <si>
    <t>P3</t>
  </si>
  <si>
    <t>备注：方案①②待确定。</t>
  </si>
  <si>
    <r>
      <rPr>
        <sz val="8"/>
        <color rgb="FF000000"/>
        <rFont val="微软雅黑"/>
        <charset val="134"/>
      </rPr>
      <t xml:space="preserve">VR251222-316 
</t>
    </r>
    <r>
      <rPr>
        <b/>
        <sz val="8"/>
        <color rgb="FF000000"/>
        <rFont val="微软雅黑"/>
        <charset val="134"/>
      </rPr>
      <t>维修楼层：将“维修模式”位置前置到我要维修楼层</t>
    </r>
    <r>
      <rPr>
        <sz val="8"/>
        <color rgb="FF000000"/>
        <rFont val="微软雅黑"/>
        <charset val="134"/>
      </rPr>
      <t xml:space="preserve">
http://vapd.vivo.xyz/s/eHGetiLC</t>
    </r>
  </si>
  <si>
    <r>
      <rPr>
        <sz val="8"/>
        <color rgb="FF000000"/>
        <rFont val="微软雅黑"/>
        <charset val="134"/>
      </rPr>
      <t xml:space="preserve">VR251210-423 
</t>
    </r>
    <r>
      <rPr>
        <b/>
        <sz val="8"/>
        <color rgb="FF000000"/>
        <rFont val="微软雅黑"/>
        <charset val="134"/>
      </rPr>
      <t>客服楼层：改造①客服卡片按会员等级区分专属皮肤②客服协助前置至此楼层</t>
    </r>
    <r>
      <rPr>
        <sz val="8"/>
        <color rgb="FF000000"/>
        <rFont val="微软雅黑"/>
        <charset val="134"/>
      </rPr>
      <t xml:space="preserve">
http://vapd.vivo.xyz/s/bhfFNQDt</t>
    </r>
  </si>
  <si>
    <r>
      <rPr>
        <sz val="8"/>
        <color rgb="FF000000"/>
        <rFont val="微软雅黑"/>
        <charset val="134"/>
      </rPr>
      <t xml:space="preserve">VR251222-407 
</t>
    </r>
    <r>
      <rPr>
        <b/>
        <sz val="8"/>
        <color rgb="FF000000"/>
        <rFont val="微软雅黑"/>
        <charset val="134"/>
      </rPr>
      <t>服务网点楼层：合并“体验店”至该楼层</t>
    </r>
    <r>
      <rPr>
        <sz val="8"/>
        <color rgb="FF000000"/>
        <rFont val="微软雅黑"/>
        <charset val="134"/>
      </rPr>
      <t xml:space="preserve">
http://vapd.vivo.xyz/s/gheeqcay</t>
    </r>
  </si>
  <si>
    <t>模块</t>
  </si>
  <si>
    <t>APP</t>
  </si>
  <si>
    <t>小程序</t>
  </si>
  <si>
    <t>维修楼层</t>
  </si>
  <si>
    <t>见交互稿（其中“查看地图”待确认是否保留）</t>
  </si>
  <si>
    <t>二选一思路：不新增入口/新增入口弹窗引导</t>
  </si>
  <si>
    <t>客服楼层</t>
  </si>
  <si>
    <t>通过IMEI识别高端机</t>
  </si>
  <si>
    <t>不新增“客服协助”入口；通过Openid识别高端机（规则待确认）</t>
  </si>
  <si>
    <t>服务中心楼层</t>
  </si>
  <si>
    <t>确认是否可直接调用官网“我的页”接口获取体验店+服务中心数据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</si>
</sst>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mmmm\-yy"/>
    <numFmt numFmtId="179" formatCode="#\ ?/?"/>
    <numFmt numFmtId="26" formatCode="\$#,##0.00_);[Red]\(\$#,##0.00\)"/>
    <numFmt numFmtId="180" formatCode="[DBNum1][$-804]yyyy&quot;年&quot;m&quot;月&quot;d&quot;日&quot;"/>
    <numFmt numFmtId="181" formatCode="[$-804]aaa"/>
    <numFmt numFmtId="182" formatCode="[DBNum1]上午/下午h&quot;时&quot;mm&quot;分&quot;"/>
    <numFmt numFmtId="183" formatCode="[$-804]aaaa"/>
    <numFmt numFmtId="184" formatCode="mm/dd/yy"/>
    <numFmt numFmtId="185" formatCode="yy/m/d"/>
    <numFmt numFmtId="186" formatCode="h:mm:ss\ AM/PM"/>
    <numFmt numFmtId="5" formatCode="&quot;￥&quot;#,##0;&quot;￥&quot;\-#,##0"/>
    <numFmt numFmtId="187" formatCode="mmmmm"/>
    <numFmt numFmtId="43" formatCode="_ * #,##0.00_ ;_ * \-#,##0.00_ ;_ * &quot;-&quot;??_ ;_ @_ "/>
    <numFmt numFmtId="42" formatCode="_ &quot;￥&quot;* #,##0_ ;_ &quot;￥&quot;* \-#,##0_ ;_ &quot;￥&quot;* &quot;-&quot;_ ;_ @_ "/>
    <numFmt numFmtId="188" formatCode="\¥#,##0;\¥\-#,##0"/>
    <numFmt numFmtId="189" formatCode="#\ ??/??"/>
    <numFmt numFmtId="190" formatCode="mmmmm\-yy"/>
    <numFmt numFmtId="191" formatCode="dd\-mmm\-yy"/>
    <numFmt numFmtId="192" formatCode="h:mm\ AM/PM"/>
    <numFmt numFmtId="193" formatCode="\¥#,##0.00;\¥\-#,##0.00"/>
    <numFmt numFmtId="8" formatCode="&quot;￥&quot;#,##0.00;[Red]&quot;￥&quot;\-#,##0.00"/>
    <numFmt numFmtId="194" formatCode="yyyy/m/d\ h:mm\ AM/PM"/>
    <numFmt numFmtId="41" formatCode="_ * #,##0_ ;_ * \-#,##0_ ;_ * &quot;-&quot;_ ;_ @_ "/>
    <numFmt numFmtId="195" formatCode="[DBNum1]h&quot;时&quot;mm&quot;分&quot;"/>
    <numFmt numFmtId="25" formatCode="\$#,##0.00_);\(\$#,##0.00\)"/>
    <numFmt numFmtId="196" formatCode="m/d"/>
    <numFmt numFmtId="197" formatCode="\¥#,##0;[Red]\¥\-#,##0"/>
    <numFmt numFmtId="198" formatCode="[DBNum1][$-804]m&quot;月&quot;d&quot;日&quot;"/>
    <numFmt numFmtId="44" formatCode="_ &quot;￥&quot;* #,##0.00_ ;_ &quot;￥&quot;* \-#,##0.00_ ;_ &quot;￥&quot;* &quot;-&quot;??_ ;_ @_ "/>
    <numFmt numFmtId="199" formatCode="#\ ??"/>
    <numFmt numFmtId="7" formatCode="&quot;￥&quot;#,##0.00;&quot;￥&quot;\-#,##0.00"/>
    <numFmt numFmtId="24" formatCode="\$#,##0_);[Red]\(\$#,##0\)"/>
  </numFmts>
  <fonts count="35"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2"/>
      <color theme="1"/>
      <name val="微软雅黑"/>
      <charset val="134"/>
    </font>
    <font>
      <b/>
      <sz val="12"/>
      <color rgb="FFFFFFFF"/>
      <name val="微软雅黑"/>
      <charset val="134"/>
    </font>
    <font>
      <sz val="8"/>
      <color rgb="FF000000"/>
      <name val="微软雅黑"/>
      <charset val="134"/>
    </font>
    <font>
      <sz val="18"/>
      <color theme="1"/>
      <name val="微软雅黑"/>
      <charset val="134"/>
    </font>
    <font>
      <sz val="14"/>
      <color theme="1"/>
      <name val="微软雅黑"/>
      <charset val="134"/>
    </font>
    <font>
      <b/>
      <sz val="18"/>
      <color rgb="FFFFFFFF"/>
      <name val="微软雅黑"/>
      <charset val="134"/>
    </font>
    <font>
      <sz val="14"/>
      <color rgb="FF000000"/>
      <name val="微软雅黑"/>
      <charset val="134"/>
    </font>
    <font>
      <sz val="14"/>
      <color rgb="FF808080"/>
      <name val="微软雅黑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4"/>
      <color rgb="FF000000"/>
      <name val="微软雅黑"/>
      <charset val="134"/>
    </font>
    <font>
      <b/>
      <sz val="8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15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0" fontId="19" fillId="0" borderId="0">
      <alignment vertical="center"/>
    </xf>
    <xf numFmtId="0" fontId="14" fillId="3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18" borderId="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0" fillId="14" borderId="9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7" fillId="22" borderId="10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32" borderId="13" applyNumberFormat="0" applyFon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0" xfId="0" applyFo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vertical="center" wrapText="1"/>
    </xf>
    <xf numFmtId="0" fontId="7" fillId="0" borderId="4" xfId="1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vertical="center" wrapText="1"/>
    </xf>
    <xf numFmtId="0" fontId="11" fillId="0" borderId="4" xfId="1" applyFont="1" applyFill="1" applyBorder="1" applyAlignment="1">
      <alignment vertical="center" wrapText="1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5" xfId="1" applyNumberFormat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vertical="center" wrapText="1"/>
    </xf>
    <xf numFmtId="0" fontId="11" fillId="0" borderId="4" xfId="1" applyFont="1" applyFill="1" applyBorder="1" applyAlignment="1">
      <alignment horizontal="left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">
    <open main="82" threadCnt="1"/>
    <sheetInfos>
      <sheetInfo cellCmpFml="3" sheetStid="1">
        <open main="1" threadCnt="1"/>
      </sheetInfo>
      <sheetInfo cellCmpFml="0" sheetStid="3">
        <open threadCnt="1"/>
      </sheetInfo>
      <sheetInfo cellCmpFml="0" sheetStid="4">
        <open threadCnt="1"/>
      </sheetInfo>
      <sheetInfo cellCmpFml="0" sheetStid="2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106045</xdr:colOff>
      <xdr:row>13</xdr:row>
      <xdr:rowOff>69850</xdr:rowOff>
    </xdr:to>
    <xdr:pic>
      <xdr:nvPicPr>
        <xdr:cNvPr id="7" name="ID_02104E7708354C028D96AEAD55DE24DA" descr="upload_post_object_v2_2205232854"/>
        <xdr:cNvPicPr/>
      </xdr:nvPicPr>
      <xdr:blipFill>
        <a:blip r:embed="rId1"/>
        <a:stretch>
          <a:fillRect/>
        </a:stretch>
      </xdr:blipFill>
      <xdr:spPr>
        <a:xfrm>
          <a:off x="0" y="0"/>
          <a:ext cx="6964045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49530</xdr:colOff>
      <xdr:row>6</xdr:row>
      <xdr:rowOff>19685</xdr:rowOff>
    </xdr:to>
    <xdr:pic>
      <xdr:nvPicPr>
        <xdr:cNvPr id="8" name="ID_9940F3C87CC94FFF900F3374B33C97AC" descr="upload_post_object_v2_2457234805"/>
        <xdr:cNvPicPr/>
      </xdr:nvPicPr>
      <xdr:blipFill>
        <a:blip r:embed="rId2"/>
        <a:stretch>
          <a:fillRect/>
        </a:stretch>
      </xdr:blipFill>
      <xdr:spPr>
        <a:xfrm>
          <a:off x="0" y="0"/>
          <a:ext cx="6907530" cy="1276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120015</xdr:colOff>
      <xdr:row>6</xdr:row>
      <xdr:rowOff>175260</xdr:rowOff>
    </xdr:to>
    <xdr:pic>
      <xdr:nvPicPr>
        <xdr:cNvPr id="9" name="ID_2278E576BE714BC3AEE5B687D0D2BC41" descr="upload_post_object_v2_428286544"/>
        <xdr:cNvPicPr/>
      </xdr:nvPicPr>
      <xdr:blipFill>
        <a:blip r:embed="rId3"/>
        <a:stretch>
          <a:fillRect/>
        </a:stretch>
      </xdr:blipFill>
      <xdr:spPr>
        <a:xfrm>
          <a:off x="0" y="0"/>
          <a:ext cx="6978015" cy="1432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"/>
  <sheetViews>
    <sheetView topLeftCell="B5" workbookViewId="0">
      <selection activeCell="G4" sqref="G4"/>
    </sheetView>
  </sheetViews>
  <sheetFormatPr defaultColWidth="36.1111111111111" defaultRowHeight="20.25" outlineLevelRow="3" outlineLevelCol="6"/>
  <cols>
    <col min="1" max="1" width="21.2592592592593" style="14" customWidth="1"/>
    <col min="2" max="2" width="36.9407407407407" style="14" customWidth="1"/>
    <col min="3" max="3" width="36.1111111111111" style="14" customWidth="1"/>
    <col min="4" max="4" width="57.762962962963" style="14" customWidth="1"/>
    <col min="5" max="5" width="9" style="14" customWidth="1"/>
    <col min="6" max="16379" width="36.1111111111111" style="14" customWidth="1"/>
    <col min="16380" max="16384" width="36.1111111111111" style="14"/>
  </cols>
  <sheetData>
    <row r="1" s="13" customFormat="1" ht="44.9" customHeight="1" spans="1:7">
      <c r="A1" s="15" t="s">
        <v>0</v>
      </c>
      <c r="B1" s="15" t="s">
        <v>1</v>
      </c>
      <c r="C1" s="15" t="s">
        <v>2</v>
      </c>
      <c r="D1" s="15" t="s">
        <v>3</v>
      </c>
      <c r="E1" s="18" t="s">
        <v>4</v>
      </c>
      <c r="F1" s="19" t="s">
        <v>5</v>
      </c>
      <c r="G1" s="19" t="s">
        <v>6</v>
      </c>
    </row>
    <row r="2" ht="182.25" spans="1:7">
      <c r="A2" s="16" t="s">
        <v>7</v>
      </c>
      <c r="B2" s="16" t="s">
        <v>8</v>
      </c>
      <c r="C2" s="16" t="s">
        <v>9</v>
      </c>
      <c r="D2" s="16" t="s">
        <v>10</v>
      </c>
      <c r="E2" s="20" t="s">
        <v>11</v>
      </c>
      <c r="F2" s="21" t="str">
        <f>_xlfn.DISPIMG("ID_2278E576BE714BC3AEE5B687D0D2BC41",1)</f>
        <v>=DISPIMG("ID_2278E576BE714BC3AEE5B687D0D2BC41",1)</v>
      </c>
      <c r="G2" s="22" t="s">
        <v>12</v>
      </c>
    </row>
    <row r="3" ht="263.25" spans="1:7">
      <c r="A3" s="17" t="s">
        <v>13</v>
      </c>
      <c r="B3" s="17" t="s">
        <v>14</v>
      </c>
      <c r="C3" s="17" t="s">
        <v>15</v>
      </c>
      <c r="D3" s="17" t="s">
        <v>16</v>
      </c>
      <c r="E3" s="23" t="s">
        <v>11</v>
      </c>
      <c r="F3" s="24" t="str">
        <f>_xlfn.DISPIMG("ID_9940F3C87CC94FFF900F3374B33C97AC",1)</f>
        <v>=DISPIMG("ID_9940F3C87CC94FFF900F3374B33C97AC",1)</v>
      </c>
      <c r="G3" s="22" t="s">
        <v>17</v>
      </c>
    </row>
    <row r="4" ht="162" spans="1:7">
      <c r="A4" s="17" t="s">
        <v>18</v>
      </c>
      <c r="B4" s="17" t="s">
        <v>19</v>
      </c>
      <c r="C4" s="17" t="s">
        <v>20</v>
      </c>
      <c r="D4" s="17" t="s">
        <v>21</v>
      </c>
      <c r="E4" s="23" t="s">
        <v>22</v>
      </c>
      <c r="F4" s="25" t="str">
        <f>_xlfn.DISPIMG("ID_02104E7708354C028D96AEAD55DE24DA",1)</f>
        <v>=DISPIMG("ID_02104E7708354C028D96AEAD55DE24DA",1)</v>
      </c>
      <c r="G4" s="22" t="s">
        <v>23</v>
      </c>
    </row>
  </sheetData>
  <sheetProtection formatCells="0" insertHyperlinks="0" autoFilter="0"/>
  <pageMargins left="0.7" right="0.7" top="0.75" bottom="0.75" header="0.3" footer="0.3"/>
  <pageSetup paperSize="9" scale="62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4"/>
  <sheetViews>
    <sheetView workbookViewId="0">
      <selection activeCell="A1" sqref="A1"/>
    </sheetView>
  </sheetViews>
  <sheetFormatPr defaultColWidth="8.88888888888889" defaultRowHeight="16.5" outlineLevelRow="3" outlineLevelCol="1"/>
  <cols>
    <col min="1" max="1" width="12.8888888888889" customWidth="1"/>
    <col min="2" max="2" width="59.5555555555556" customWidth="1"/>
  </cols>
  <sheetData>
    <row r="1" s="9" customFormat="1" ht="18" spans="1:2">
      <c r="A1" s="10" t="s">
        <v>0</v>
      </c>
      <c r="B1" s="10" t="s">
        <v>3</v>
      </c>
    </row>
    <row r="2" ht="81" spans="1:2">
      <c r="A2" s="11" t="s">
        <v>24</v>
      </c>
      <c r="B2" s="11" t="s">
        <v>10</v>
      </c>
    </row>
    <row r="3" ht="94.5" spans="1:2">
      <c r="A3" s="12" t="s">
        <v>25</v>
      </c>
      <c r="B3" s="12" t="s">
        <v>16</v>
      </c>
    </row>
    <row r="4" ht="67.5" spans="1:2">
      <c r="A4" s="12" t="s">
        <v>26</v>
      </c>
      <c r="B4" s="12" t="s">
        <v>21</v>
      </c>
    </row>
  </sheetData>
  <sheetProtection formatCells="0" insertHyperlinks="0" autoFilter="0"/>
  <pageMargins left="0.75" right="0.75" top="1" bottom="1" header="0.5" footer="0.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tabSelected="1" workbookViewId="0">
      <selection activeCell="A1" sqref="A1"/>
    </sheetView>
  </sheetViews>
  <sheetFormatPr defaultColWidth="8.88888888888889" defaultRowHeight="14.25" outlineLevelRow="4" outlineLevelCol="2"/>
  <cols>
    <col min="1" max="1" width="8.55555555555556" style="1" customWidth="1"/>
    <col min="2" max="2" width="18.9777777777778" style="1" customWidth="1"/>
    <col min="3" max="4" width="22.0222222222222" style="1" customWidth="1"/>
    <col min="5" max="16384" width="8.55555555555556" style="1"/>
  </cols>
  <sheetData>
    <row r="1" spans="1:3">
      <c r="A1" s="2" t="s">
        <v>27</v>
      </c>
      <c r="B1" s="3" t="s">
        <v>28</v>
      </c>
      <c r="C1" s="3" t="s">
        <v>29</v>
      </c>
    </row>
    <row r="2" ht="28.5" spans="1:3">
      <c r="A2" s="4" t="s">
        <v>30</v>
      </c>
      <c r="B2" s="4" t="s">
        <v>31</v>
      </c>
      <c r="C2" s="5" t="s">
        <v>32</v>
      </c>
    </row>
    <row r="3" ht="28.5" spans="1:3">
      <c r="A3" s="5" t="s">
        <v>33</v>
      </c>
      <c r="B3" s="4" t="s">
        <v>34</v>
      </c>
      <c r="C3" s="5" t="s">
        <v>35</v>
      </c>
    </row>
    <row r="4" spans="1:3">
      <c r="A4" s="5" t="s">
        <v>36</v>
      </c>
      <c r="B4" s="6" t="s">
        <v>37</v>
      </c>
      <c r="C4" s="7"/>
    </row>
    <row r="5" ht="15" spans="1:3">
      <c r="A5" s="8"/>
      <c r="B5" s="8"/>
      <c r="C5" s="8"/>
    </row>
  </sheetData>
  <sheetProtection formatCells="0" insertHyperlinks="0" autoFilter="0"/>
  <mergeCells count="1">
    <mergeCell ref="B4:C4"/>
  </mergeCells>
  <pageMargins left="0.75" right="0.75" top="1" bottom="1" header="0.5" footer="0.5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6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WWO_wpscloud_20241224141739-de4b80f8c5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王辉-互联网基础平台部</dc:creator>
  <cp:lastModifiedBy>王辉-互联网基础平台部</cp:lastModifiedBy>
  <dcterms:created xsi:type="dcterms:W3CDTF">2025-12-03T14:01:00Z</dcterms:created>
  <dcterms:modified xsi:type="dcterms:W3CDTF">2025-12-03T14:01:00Z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